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Back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70C0"/>
      <sz val="10"/>
    </font>
    <font>
      <name val="Arial"/>
      <color rgb="0000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4" customWidth="1" min="4" max="4"/>
    <col width="22" customWidth="1" min="5" max="5"/>
    <col width="26" customWidth="1" min="6" max="6"/>
    <col width="14" customWidth="1" min="7" max="7"/>
    <col width="26" customWidth="1" min="8" max="8"/>
  </cols>
  <sheetData>
    <row r="1">
      <c r="A1" s="1" t="inlineStr">
        <is>
          <t>Part Parameters</t>
        </is>
      </c>
    </row>
    <row r="2">
      <c r="A2" s="2" t="inlineStr">
        <is>
          <t>Part</t>
        </is>
      </c>
      <c r="B2" s="2" t="inlineStr">
        <is>
          <t>Lead Time (periods)</t>
        </is>
      </c>
      <c r="C2" s="2" t="inlineStr">
        <is>
          <t>Min Lot Size (units)</t>
        </is>
      </c>
      <c r="D2" s="2" t="inlineStr">
        <is>
          <t>Beginning Inventory (units)</t>
        </is>
      </c>
      <c r="E2" s="2" t="inlineStr">
        <is>
          <t>Setup Cost (€/setup)</t>
        </is>
      </c>
      <c r="F2" s="2" t="inlineStr">
        <is>
          <t>Holding Cost (€/week/unit)</t>
        </is>
      </c>
      <c r="G2" s="2" t="inlineStr">
        <is>
          <t>Workstation</t>
        </is>
      </c>
      <c r="H2" s="2" t="inlineStr">
        <is>
          <t>Processing Time (min/unit)</t>
        </is>
      </c>
    </row>
    <row r="3">
      <c r="A3" s="3" t="inlineStr">
        <is>
          <t>B1401</t>
        </is>
      </c>
      <c r="B3" s="4" t="n">
        <v>4</v>
      </c>
      <c r="C3" s="4" t="n">
        <v>1200</v>
      </c>
      <c r="D3" s="4" t="n">
        <v>6400</v>
      </c>
      <c r="E3" s="4" t="n">
        <v>2500</v>
      </c>
      <c r="F3" s="4" t="n">
        <v>0.5</v>
      </c>
      <c r="G3" s="4" t="inlineStr">
        <is>
          <t>Y</t>
        </is>
      </c>
      <c r="H3" s="4" t="n">
        <v>3</v>
      </c>
    </row>
    <row r="4">
      <c r="A4" s="3" t="inlineStr">
        <is>
          <t>B2302</t>
        </is>
      </c>
      <c r="B4" s="5" t="n">
        <v>2</v>
      </c>
      <c r="C4" s="5" t="n">
        <v>1200</v>
      </c>
      <c r="D4" s="5" t="n">
        <v>4000</v>
      </c>
      <c r="E4" s="5" t="n">
        <v>2500</v>
      </c>
      <c r="F4" s="5" t="n">
        <v>0.7</v>
      </c>
      <c r="G4" s="5" t="inlineStr">
        <is>
          <t>Y</t>
        </is>
      </c>
      <c r="H4" s="5" t="n">
        <v>2</v>
      </c>
    </row>
    <row r="5">
      <c r="A5" s="3" t="inlineStr">
        <is>
          <t>B3201</t>
        </is>
      </c>
      <c r="B5" s="4" t="n">
        <v>1</v>
      </c>
      <c r="C5" s="4" t="n">
        <v>800</v>
      </c>
      <c r="D5" s="4" t="n">
        <v>5200</v>
      </c>
      <c r="E5" s="4" t="n">
        <v>6500</v>
      </c>
      <c r="F5" s="4" t="n">
        <v>1.8</v>
      </c>
      <c r="G5" s="4" t="inlineStr">
        <is>
          <t>-</t>
        </is>
      </c>
      <c r="H5" s="4" t="inlineStr"/>
    </row>
    <row r="6">
      <c r="A6" s="3" t="inlineStr">
        <is>
          <t>B4702</t>
        </is>
      </c>
      <c r="B6" s="5" t="n">
        <v>5</v>
      </c>
      <c r="C6" s="5" t="n">
        <v>600</v>
      </c>
      <c r="D6" s="5" t="n">
        <v>3200</v>
      </c>
      <c r="E6" s="5" t="n">
        <v>2500</v>
      </c>
      <c r="F6" s="5" t="n">
        <v>2.4</v>
      </c>
      <c r="G6" s="5" t="inlineStr">
        <is>
          <t>-</t>
        </is>
      </c>
      <c r="H6" s="5" t="inlineStr"/>
    </row>
    <row r="7">
      <c r="A7" s="3" t="inlineStr">
        <is>
          <t>V1501</t>
        </is>
      </c>
      <c r="B7" s="4" t="n">
        <v>3</v>
      </c>
      <c r="C7" s="4" t="n">
        <v>1500</v>
      </c>
      <c r="D7" s="4" t="n">
        <v>5800</v>
      </c>
      <c r="E7" s="4" t="n">
        <v>2500</v>
      </c>
      <c r="F7" s="4" t="n">
        <v>3.1</v>
      </c>
      <c r="G7" s="4" t="inlineStr">
        <is>
          <t>-</t>
        </is>
      </c>
      <c r="H7" s="4" t="inlineStr"/>
    </row>
    <row r="8">
      <c r="A8" s="3" t="inlineStr">
        <is>
          <t>V6302</t>
        </is>
      </c>
      <c r="B8" s="5" t="n">
        <v>2</v>
      </c>
      <c r="C8" s="5" t="n">
        <v>700</v>
      </c>
      <c r="D8" s="5" t="n">
        <v>1950</v>
      </c>
      <c r="E8" s="5" t="n">
        <v>4000</v>
      </c>
      <c r="F8" s="5" t="n">
        <v>4.9</v>
      </c>
      <c r="G8" s="5" t="inlineStr">
        <is>
          <t>-</t>
        </is>
      </c>
      <c r="H8" s="5" t="inlineStr"/>
    </row>
    <row r="9">
      <c r="A9" s="3" t="inlineStr">
        <is>
          <t>E2801</t>
        </is>
      </c>
      <c r="B9" s="4" t="n">
        <v>1</v>
      </c>
      <c r="C9" s="4" t="n">
        <v>600</v>
      </c>
      <c r="D9" s="4" t="n">
        <v>1350</v>
      </c>
      <c r="E9" s="4" t="n">
        <v>4500</v>
      </c>
      <c r="F9" s="4" t="n">
        <v>6</v>
      </c>
      <c r="G9" s="4" t="inlineStr">
        <is>
          <t>X</t>
        </is>
      </c>
      <c r="H9" s="4" t="n">
        <v>1</v>
      </c>
    </row>
    <row r="11">
      <c r="A11" s="1" t="inlineStr">
        <is>
          <t>Bill of Materials</t>
        </is>
      </c>
    </row>
    <row r="12">
      <c r="A12" s="2" t="inlineStr">
        <is>
          <t>Parent</t>
        </is>
      </c>
      <c r="B12" s="2" t="inlineStr">
        <is>
          <t>Component</t>
        </is>
      </c>
      <c r="C12" s="2" t="inlineStr">
        <is>
          <t>Quantity</t>
        </is>
      </c>
    </row>
    <row r="13">
      <c r="A13" s="4" t="inlineStr">
        <is>
          <t>E2801</t>
        </is>
      </c>
      <c r="B13" s="4" t="inlineStr">
        <is>
          <t>V1501</t>
        </is>
      </c>
      <c r="C13" s="4" t="n">
        <v>4</v>
      </c>
    </row>
    <row r="14">
      <c r="A14" s="5" t="inlineStr">
        <is>
          <t>E2801</t>
        </is>
      </c>
      <c r="B14" s="5" t="inlineStr">
        <is>
          <t>V6302</t>
        </is>
      </c>
      <c r="C14" s="5" t="n">
        <v>3</v>
      </c>
    </row>
    <row r="15">
      <c r="A15" s="4" t="inlineStr">
        <is>
          <t>V1501</t>
        </is>
      </c>
      <c r="B15" s="4" t="inlineStr">
        <is>
          <t>B1401</t>
        </is>
      </c>
      <c r="C15" s="4" t="n">
        <v>4</v>
      </c>
    </row>
    <row r="16">
      <c r="A16" s="5" t="inlineStr">
        <is>
          <t>V1501</t>
        </is>
      </c>
      <c r="B16" s="5" t="inlineStr">
        <is>
          <t>B2302</t>
        </is>
      </c>
      <c r="C16" s="5" t="n">
        <v>3</v>
      </c>
    </row>
    <row r="17">
      <c r="A17" s="4" t="inlineStr">
        <is>
          <t>V6302</t>
        </is>
      </c>
      <c r="B17" s="4" t="inlineStr">
        <is>
          <t>B3201</t>
        </is>
      </c>
      <c r="C17" s="4" t="n">
        <v>2</v>
      </c>
    </row>
    <row r="18">
      <c r="A18" s="5" t="inlineStr">
        <is>
          <t>V6302</t>
        </is>
      </c>
      <c r="B18" s="5" t="inlineStr">
        <is>
          <t>B4702</t>
        </is>
      </c>
      <c r="C18" s="5" t="n">
        <v>7</v>
      </c>
    </row>
    <row r="20">
      <c r="A20" s="1" t="inlineStr">
        <is>
          <t>Capacity Parameters</t>
        </is>
      </c>
    </row>
    <row r="21">
      <c r="A21" s="2" t="inlineStr">
        <is>
          <t>Workstation</t>
        </is>
      </c>
      <c r="B21" s="2" t="inlineStr">
        <is>
          <t>Base Capacity</t>
        </is>
      </c>
      <c r="C21" s="2" t="inlineStr">
        <is>
          <t>Unit</t>
        </is>
      </c>
    </row>
    <row r="22">
      <c r="A22" s="6" t="inlineStr">
        <is>
          <t>X</t>
        </is>
      </c>
      <c r="B22" s="6" t="n">
        <v>800</v>
      </c>
      <c r="C22" s="7" t="inlineStr">
        <is>
          <t>units E2801/week</t>
        </is>
      </c>
    </row>
    <row r="23">
      <c r="A23" s="6" t="inlineStr">
        <is>
          <t>Y_weekly_minutes</t>
        </is>
      </c>
      <c r="B23" s="6">
        <f>7*24*60-80</f>
        <v/>
      </c>
      <c r="C23" s="7" t="inlineStr">
        <is>
          <t>min/week  (24/7 minus 80 min maintenance)</t>
        </is>
      </c>
    </row>
  </sheetData>
  <mergeCells count="3">
    <mergeCell ref="A20:C20"/>
    <mergeCell ref="A11:C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</cols>
  <sheetData>
    <row r="1">
      <c r="A1" s="1" t="inlineStr">
        <is>
          <t>Demand Data – End Product E2801</t>
        </is>
      </c>
    </row>
    <row r="2">
      <c r="A2" s="2" t="inlineStr">
        <is>
          <t>Week</t>
        </is>
      </c>
      <c r="B2" s="2" t="inlineStr">
        <is>
          <t>Forecasted Demand</t>
        </is>
      </c>
      <c r="C2" s="2" t="inlineStr">
        <is>
          <t>Realized Demand</t>
        </is>
      </c>
    </row>
    <row r="3">
      <c r="A3" s="4" t="n">
        <v>1</v>
      </c>
      <c r="B3" s="4" t="n">
        <v>136</v>
      </c>
      <c r="C3" s="4" t="n">
        <v>120</v>
      </c>
    </row>
    <row r="4">
      <c r="A4" s="5" t="n">
        <v>2</v>
      </c>
      <c r="B4" s="5" t="n">
        <v>144</v>
      </c>
      <c r="C4" s="5" t="n">
        <v>152</v>
      </c>
    </row>
    <row r="5">
      <c r="A5" s="4" t="n">
        <v>3</v>
      </c>
      <c r="B5" s="4" t="n">
        <v>263</v>
      </c>
      <c r="C5" s="4" t="n">
        <v>213</v>
      </c>
    </row>
    <row r="6">
      <c r="A6" s="5" t="n">
        <v>4</v>
      </c>
      <c r="B6" s="5" t="n">
        <v>123</v>
      </c>
      <c r="C6" s="5" t="n">
        <v>106</v>
      </c>
    </row>
    <row r="7">
      <c r="A7" s="4" t="n">
        <v>5</v>
      </c>
      <c r="B7" s="4" t="n">
        <v>171</v>
      </c>
      <c r="C7" s="4" t="n">
        <v>148</v>
      </c>
    </row>
    <row r="8">
      <c r="A8" s="5" t="n">
        <v>6</v>
      </c>
      <c r="B8" s="5" t="n">
        <v>195</v>
      </c>
      <c r="C8" s="5" t="n">
        <v>162</v>
      </c>
    </row>
    <row r="9">
      <c r="A9" s="4" t="n">
        <v>7</v>
      </c>
      <c r="B9" s="4" t="n">
        <v>414</v>
      </c>
      <c r="C9" s="4" t="n">
        <v>367</v>
      </c>
    </row>
    <row r="10">
      <c r="A10" s="5" t="n">
        <v>8</v>
      </c>
      <c r="B10" s="5" t="n">
        <v>147</v>
      </c>
      <c r="C10" s="5" t="n">
        <v>129</v>
      </c>
    </row>
    <row r="11">
      <c r="A11" s="4" t="n">
        <v>9</v>
      </c>
      <c r="B11" s="4" t="n">
        <v>129</v>
      </c>
      <c r="C11" s="4" t="n">
        <v>110</v>
      </c>
    </row>
    <row r="12">
      <c r="A12" s="5" t="n">
        <v>10</v>
      </c>
      <c r="B12" s="5" t="n">
        <v>245</v>
      </c>
      <c r="C12" s="5" t="n">
        <v>286</v>
      </c>
    </row>
    <row r="13">
      <c r="A13" s="4" t="n">
        <v>11</v>
      </c>
      <c r="B13" s="4" t="n">
        <v>208</v>
      </c>
      <c r="C13" s="4" t="n">
        <v>241</v>
      </c>
    </row>
    <row r="14">
      <c r="A14" s="5" t="n">
        <v>12</v>
      </c>
      <c r="B14" s="5" t="n">
        <v>178</v>
      </c>
      <c r="C14" s="5" t="n">
        <v>212</v>
      </c>
    </row>
    <row r="15">
      <c r="A15" s="4" t="n">
        <v>13</v>
      </c>
      <c r="B15" s="4" t="n">
        <v>168</v>
      </c>
      <c r="C15" s="4" t="n">
        <v>199</v>
      </c>
    </row>
    <row r="16">
      <c r="A16" s="5" t="n">
        <v>14</v>
      </c>
      <c r="B16" s="5" t="n">
        <v>208</v>
      </c>
      <c r="C16" s="5" t="n">
        <v>236</v>
      </c>
    </row>
    <row r="17">
      <c r="A17" s="4" t="n">
        <v>15</v>
      </c>
      <c r="B17" s="4" t="n">
        <v>173</v>
      </c>
      <c r="C17" s="4" t="n">
        <v>187</v>
      </c>
    </row>
    <row r="18">
      <c r="A18" s="5" t="n">
        <v>16</v>
      </c>
      <c r="B18" s="5" t="n">
        <v>168</v>
      </c>
      <c r="C18" s="5" t="n">
        <v>186</v>
      </c>
    </row>
    <row r="19">
      <c r="A19" s="4" t="n">
        <v>17</v>
      </c>
      <c r="B19" s="4" t="n">
        <v>181</v>
      </c>
      <c r="C19" s="4" t="n">
        <v>193</v>
      </c>
    </row>
    <row r="20">
      <c r="A20" s="5" t="n">
        <v>18</v>
      </c>
      <c r="B20" s="5" t="n">
        <v>188</v>
      </c>
      <c r="C20" s="5" t="n">
        <v>201</v>
      </c>
    </row>
    <row r="21">
      <c r="A21" s="4" t="n">
        <v>19</v>
      </c>
      <c r="B21" s="4" t="n">
        <v>212</v>
      </c>
      <c r="C21" s="4" t="n">
        <v>228</v>
      </c>
    </row>
    <row r="22">
      <c r="A22" s="5" t="n">
        <v>20</v>
      </c>
      <c r="B22" s="5" t="n">
        <v>253</v>
      </c>
      <c r="C22" s="5" t="n">
        <v>237</v>
      </c>
    </row>
    <row r="23">
      <c r="A23" s="4" t="n">
        <v>21</v>
      </c>
      <c r="B23" s="4" t="n">
        <v>219</v>
      </c>
      <c r="C23" s="4" t="n">
        <v>253</v>
      </c>
    </row>
    <row r="24">
      <c r="A24" s="5" t="n">
        <v>22</v>
      </c>
      <c r="B24" s="5" t="n">
        <v>196</v>
      </c>
      <c r="C24" s="5" t="n">
        <v>209</v>
      </c>
    </row>
    <row r="25">
      <c r="A25" s="4" t="n">
        <v>23</v>
      </c>
      <c r="B25" s="4" t="n">
        <v>226</v>
      </c>
      <c r="C25" s="4" t="n">
        <v>247</v>
      </c>
    </row>
    <row r="26">
      <c r="A26" s="5" t="n">
        <v>24</v>
      </c>
      <c r="B26" s="5" t="n">
        <v>239</v>
      </c>
      <c r="C26" s="5" t="n">
        <v>233</v>
      </c>
    </row>
    <row r="27">
      <c r="A27" s="4" t="n">
        <v>25</v>
      </c>
      <c r="B27" s="4" t="n">
        <v>220</v>
      </c>
      <c r="C27" s="4" t="n">
        <v>195</v>
      </c>
    </row>
    <row r="28">
      <c r="A28" s="5" t="n">
        <v>26</v>
      </c>
      <c r="B28" s="5" t="n">
        <v>199</v>
      </c>
      <c r="C28" s="5" t="n">
        <v>192</v>
      </c>
    </row>
    <row r="29">
      <c r="A29" s="4" t="n">
        <v>27</v>
      </c>
      <c r="B29" s="4" t="n">
        <v>183</v>
      </c>
      <c r="C29" s="4" t="n">
        <v>179</v>
      </c>
    </row>
    <row r="30">
      <c r="A30" s="5" t="n">
        <v>28</v>
      </c>
      <c r="B30" s="5" t="n">
        <v>149</v>
      </c>
      <c r="C30" s="5" t="n">
        <v>171</v>
      </c>
    </row>
    <row r="31">
      <c r="A31" s="4" t="n">
        <v>29</v>
      </c>
      <c r="B31" s="4" t="n">
        <v>167</v>
      </c>
      <c r="C31" s="4" t="n">
        <v>197</v>
      </c>
    </row>
    <row r="32">
      <c r="A32" s="5" t="n">
        <v>30</v>
      </c>
      <c r="B32" s="5" t="n">
        <v>205</v>
      </c>
      <c r="C32" s="5" t="n">
        <v>228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Backorder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8" t="inlineStr">
        <is>
          <t>Backorder cost (€/unit/period)</t>
        </is>
      </c>
      <c r="B3" s="6" t="n">
        <v>250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2026-03-10T13:44:57Z</dcterms:created>
  <dcterms:modified xmlns:dcterms="http://purl.org/dc/terms/" xmlns:xsi="http://www.w3.org/2001/XMLSchema-instance" xsi:type="dcterms:W3CDTF">2026-03-10T13:44:57Z</dcterms:modified>
</cp:coreProperties>
</file>